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 hoạch Phân công" sheetId="1" r:id="rId5"/>
  </sheets>
  <definedNames>
    <definedName hidden="1" localSheetId="0" name="_xlnm._FilterDatabase">'Kế hoạch Phân công'!$B$10:$I$59</definedName>
  </definedNames>
  <calcPr/>
</workbook>
</file>

<file path=xl/sharedStrings.xml><?xml version="1.0" encoding="utf-8"?>
<sst xmlns="http://schemas.openxmlformats.org/spreadsheetml/2006/main" count="248" uniqueCount="122">
  <si>
    <t>DỰ ÁN AURA MUSEUM — BẢO TÀNG WEBXR TƯƠNG TÁC 3D</t>
  </si>
  <si>
    <t>Kế hoạch Phân công Công việc • Thời gian: 08/10/2026 – 08/12/2026 (2 tháng) • Quy mô: 5 Thành viên • 3 Giai đoạn triển khai</t>
  </si>
  <si>
    <t>TỔNG SỐ CÔNG VIỆC</t>
  </si>
  <si>
    <t>HOÀN THÀNH</t>
  </si>
  <si>
    <t>ĐANG THỰC HIỆN</t>
  </si>
  <si>
    <t>CHƯA BẮT ĐẦU</t>
  </si>
  <si>
    <t>TIẾN ĐỘ TỔNG THỂ</t>
  </si>
  <si>
    <t>3 Giai đoạn • 5 Thành viên</t>
  </si>
  <si>
    <t>Đã nghiệm thu đạt</t>
  </si>
  <si>
    <t>Đang triển khai</t>
  </si>
  <si>
    <t>Sẵn sàng thực hiện</t>
  </si>
  <si>
    <t>Mục tiêu 100% ngày 08/12</t>
  </si>
  <si>
    <t>STT</t>
  </si>
  <si>
    <t>Họ và tên</t>
  </si>
  <si>
    <t>Vai trò</t>
  </si>
  <si>
    <t>Nhiệm vụ cụ thể</t>
  </si>
  <si>
    <t>Ngày bắt đầu</t>
  </si>
  <si>
    <t>Deadline</t>
  </si>
  <si>
    <t>Tiến độ</t>
  </si>
  <si>
    <t>Khó khăn / Thách thức kỹ thuật</t>
  </si>
  <si>
    <t>📍 GIAI ĐOẠN 1: ĐỦ YÊU CẦU ĐỀ BÀI (MVP) (08/10/2026 – 09/11/2026)</t>
  </si>
  <si>
    <t>Nguyễn Văn Thắng</t>
  </si>
  <si>
    <t>Fullstack / Database &amp; Core Backend</t>
  </si>
  <si>
    <t>Thiết kế Database Schema, ERD, migration script và seed data cho Room, Exhibit, Media, Revision/Phiên bản, Báo cáo vi phạm (tối thiểu 5 hiện vật mẫu); bàn giao content schema spec.</t>
  </si>
  <si>
    <t>Đang thực hiện</t>
  </si>
  <si>
    <t>Xung đột schema cũ và thiếu file migration từ commit gốc</t>
  </si>
  <si>
    <t>Xây dựng API xác thực Admin (POST /auth/login, logout, JWT token) và giao diện trang đăng nhập login.html; bàn giao tài liệu API Auth.</t>
  </si>
  <si>
    <t>Chưa bắt đầu</t>
  </si>
  <si>
    <t>Đảm bảo DTO công khai tách biệt hoàn toàn với Entity</t>
  </si>
  <si>
    <t>Phát triển giao diện quản lý tài khoản Admin accounts.html và API CRUD User, gán Role; bàn giao màn hình hoạt động kết nối backend.</t>
  </si>
  <si>
    <t>Đảm bảo ràng buộc khóa ngoại và tính nhất quán dữ liệu JSONB</t>
  </si>
  <si>
    <t>Xây dựng giao diện danh sách quyền permissions.html và ma trận phân quyền permission-matrix.html; bàn giao UI hiển thị đầy đủ RBAC.</t>
  </si>
  <si>
    <t>Xoay vòng và thu hồi refresh token an toàn, phát hiện token cũ bị dùng lại, đồng thời xử lý nhiều tab refresh cùng lúc để tránh đăng xuất nhầm.</t>
  </si>
  <si>
    <t>Triển khai RBAC Guard/Middleware kiểm tra quyền thao tác trên toàn bộ Admin API endpoints; bàn giao kiểm thử chặn truy cập trái phép.</t>
  </si>
  <si>
    <t>Phân quyền chi tiết theo từng action và scope phòng</t>
  </si>
  <si>
    <t>Nguyễn Trọng Thành</t>
  </si>
  <si>
    <t>Fullstack / CMS Frontend &amp; QA Lead</t>
  </si>
  <si>
    <t>Xây dựng giao diện và API CRUD Phòng trưng bày (admin.html#rooms); bàn giao luồng tạo, sửa, xóa phòng hoạt động hoàn chỉnh.</t>
  </si>
  <si>
    <t>Validate chặt chẽ dữ liệu đầu vào không cho phép chuỗi rỗng</t>
  </si>
  <si>
    <t>Xây dựng giao diện và API quản lý Hiện vật (admin.html#exhibits): lưu revision, xem lịch sử phiên bản cũ, chuyển bản nháp sang chờ duyệt; bàn giao form nhập liệu thông tin, tọa độ và quản lý phiên bản.</t>
  </si>
  <si>
    <t>Quản lý chuyển trạng thái revision an toàn trong 1 transaction</t>
  </si>
  <si>
    <t>Xây dựng CMS Media (admin.html#media) và Upload Pipeline: upload file GLB/ảnh/audio, validate MIME/dung lượng, lưu metadata và quarantine.</t>
  </si>
  <si>
    <t>Chống giả mạo MIME type, SVG XSS và file GLB chứa script độc hại</t>
  </si>
  <si>
    <t>Xây dựng tính năng gắn Media (GLB, ảnh, audio) vào Hiện vật trong CMS và API trả nội dung phòng/hiện vật đã xuất bản cho Client.</t>
  </si>
  <si>
    <t>Đảm bảo log append-only và không ghi đè secret</t>
  </si>
  <si>
    <t>Hoàn thiện luồng CMS: chọn file -&gt; upload -&gt; lưu metadata -&gt; gắn hiện vật -&gt; xem trước ở Client; bàn giao checklist xác minh luồng media.</t>
  </si>
  <si>
    <t>Không để lọt nội dung nháp ra API Public, TTL &lt;= 60s</t>
  </si>
  <si>
    <t>Đinh Bá Thi</t>
  </si>
  <si>
    <t>Dựng khung 3D Canvas bằng R3F/Three.js trên tour.html (lighting, camera, room environment); tích hợp API nạp phòng và hiện vật.</t>
  </si>
  <si>
    <t>Khởi tạo Scene nhẹ nhàng, tránh ngốn RAM/GPU ban đầu</t>
  </si>
  <si>
    <t>Tải động mô hình 3D (GLB), chuẩn hóa scale/pivot, raycasting chọn hiện vật và điều khiển camera; bàn giao scene 3D tối thiểu 5 hiện vật.</t>
  </si>
  <si>
    <t>Mô hình GLB thực tế có kích thước và gốc tọa độ khác nhau</t>
  </si>
  <si>
    <t>Tích hợp Hotspots 3D tương tác liên kết dữ liệu hiện vật; xử lý hiển thị placeholder 3D fallback khi file GLB hỏng hoặc lỗi tải.</t>
  </si>
  <si>
    <t>Xử lý lỗi tải mesh lẻ mà không làm crash toàn bộ Scene 3D</t>
  </si>
  <si>
    <t>Phát triển hệ thống điều khiển di chuyển trong không gian 3D: bàn phím WASD và chuột cho Desktop, cảm ứng touch/joystick cho Mobile.</t>
  </si>
  <si>
    <t>Phù hợp với nhiều loại kính VR khác nhau (Quest, HTC Vive, Pico)</t>
  </si>
  <si>
    <t>Tích hợp WebXR immersive-vr, quản lý vào/thoát phiên, tương tác chọn hotspot và di chuyển bằng bộ điều khiển khi hỗ trợ; fallback tiếp tục chế độ 3D web thường khi không vào được VR và tự động chuyển sang giao diện 2D khi 3D không khả dụng.</t>
  </si>
  <si>
    <t>Bắt sự kiện context loss và khôi phục trạng thái mượt mà</t>
  </si>
  <si>
    <t>Đinh Quang Tiến</t>
  </si>
  <si>
    <t>Xây dựng Giao diện Trang chủ (index.html) và Danh mục bộ sưu tập 2D (collection.html) kết nối API hiển thị tối thiểu 5 hiện vật.</t>
  </si>
  <si>
    <t>Đảm bảo DOM hiển thị đầy đủ thông tin mà không cần WebGL</t>
  </si>
  <si>
    <t>Xây dựng Giao diện Chi tiết hiện vật 2D kèm đường dẫn chuyển đổi mượt mà sang 2D khi người dùng gặp lỗi WebGL từ không gian 3D.</t>
  </si>
  <si>
    <t>Đảm bảo dữ liệu từ API được validate an toàn trước khi render</t>
  </si>
  <si>
    <t>Phát triển Audio Player (phát, dừng, tua âm thanh thuyết minh) và Giao diện Transcript đọc kèm nội dung đồng bộ cho hiện vật.</t>
  </si>
  <si>
    <t>Đảm bảo audio dừng khi chuyển hiện vật hoặc đóng popup</t>
  </si>
  <si>
    <t>Tối ưu điều hướng 100% bàn phím (Tab, Enter, Space, Esc), bẫy focus modal và chuẩn tiếp cận WCAG 2.2 AA; bàn giao accessibility checklist.</t>
  </si>
  <si>
    <t>Quản lý Focus trap hợp lý khi mở/đóng modal chi tiết</t>
  </si>
  <si>
    <t>Xây dựng Form gửi báo cáo nội dung sai ở Client (Public Report Modal trên tour.html và collection.html) tự động gắn thông tin phiên bản bị báo cáo và API tiếp nhận báo cáo.</t>
  </si>
  <si>
    <t>Rate limit phía client và phản hồi trạng thái rõ ràng cho người dùng</t>
  </si>
  <si>
    <t>Nguyễn Đức Quang</t>
  </si>
  <si>
    <t>Xây dựng Dashboard Admin CMS tổng quan (admin.html) thống kê phòng, hiện vật, báo cáo và trạng thái hệ thống; bàn giao UI hoàn chỉnh.</t>
  </si>
  <si>
    <t>Đảm bảo giao diện trực quan, hiển thị rõ bản nháp vs bản xuất bản</t>
  </si>
  <si>
    <t>Phát triển Giao diện và API Kiểm duyệt nội dung (moderation.html): duyệt bản ghi chờ duyệt, xem lịch sử revision, so sánh phiên bản cũ/mới, xuất bản (publish), từ chối và tạm ẩn hiện vật kèm lý do.</t>
  </si>
  <si>
    <t>Preview phải dùng chính renderer của public để phản ánh chính xác</t>
  </si>
  <si>
    <t>Xây dựng Màn hình và API Xử lý báo cáo vi phạm (reports.html) cho Admin: hiển thị thông tin phiên bản bị báo cáo, tiếp nhận, duyệt xử lý và đóng báo cáo từ người dùng Client.</t>
  </si>
  <si>
    <t>Bắt buộc nhập lý do khi từ chối hoặc tạm ẩn nội dung</t>
  </si>
  <si>
    <t>Xây dựng Màn hình và API Nhật ký hệ thống (audit.html): tự động ghi vết và hiển thị lịch sử thay đổi trạng thái CMS của quản trị viên.</t>
  </si>
  <si>
    <t>Hiển thị thông tin báo cáo kèm so sánh phiên bản bị báo cáo</t>
  </si>
  <si>
    <t>Kiểm thử tích hợp luồng CMS Admin với API backend, xử lý xung đột sửa đổi đồng thời (409 Conflict) và thông báo lỗi giao diện.</t>
  </si>
  <si>
    <t>Xử lý thông báo xung đột sửa đổi đồng thời cho người dùng tải lại</t>
  </si>
  <si>
    <t>🧪 GIAI ĐOẠN 2: TEST KỸ TÍNH NĂNG GIAI ĐOẠN 1 + TỐI ƯU + ĐẨY LÊN PRODUCTION V1 (10/11/2026 – 20/11/2026)</t>
  </si>
  <si>
    <t>Viết Unit test &amp; Integration test cho NestJS Core, Transactions, RBAC Guards; bàn giao báo cáo test coverage đạt tối thiểu 80%.</t>
  </si>
  <si>
    <t>Tạo mock DB độc lập cho test runner</t>
  </si>
  <si>
    <t>Kiểm thử an toàn cơ sở dữ liệu: backup/restore test, xác minh RPO/RTO và kiểm tra an toàn cấu hình DB; bàn giao biên bản kiểm thử DB.</t>
  </si>
  <si>
    <t>Giả lập sự cố mất DB và đo thời gian restore thực tế</t>
  </si>
  <si>
    <t>Kiểm thử bảo mật Upload Pipeline: fuzzing file độc hại (SVG XSS, MIME giả mạo, file vượt dung lượng); bàn giao báo cáo bảo mật upload.</t>
  </si>
  <si>
    <t>Chuẩn bị các file payload độc hại mẫu để fuzzing</t>
  </si>
  <si>
    <t>Kiểm thử tải REST API theo kịch bản sử dụng thực tế (100–200 CCU, p95 &lt;= 500ms, error rate &lt; 1%); bàn giao báo cáo k6 load test.</t>
  </si>
  <si>
    <t>Tránh nghẽn connection pool của Supabase/PostgreSQL</t>
  </si>
  <si>
    <t>Audit hiệu năng 3D trên thiết bị thật (FPS &gt;= 60 Desktop, &gt;= 30 Mobile, frametime, bộ nhớ GPU); bàn giao performance audit report.</t>
  </si>
  <si>
    <t>Kiểm thử trên nhiều cấu hình thiết bị mobile thực tế</t>
  </si>
  <si>
    <t>Kiểm thử các kịch bản WebGL Fallback (Context lost, GLB lỗi, từ chối quyền VR) trên ma trận thiết bị; bàn giao device matrix &amp; fallback tests.</t>
  </si>
  <si>
    <t>Giả lập ngắt kết nối VR headset giữa chừng khi đang tham quan</t>
  </si>
  <si>
    <t>Audit khả năng tiếp cận WCAG 2.2 AA trên thiết bị thật với screen reader (NVDA, VoiceOver) và phím; bàn giao accessibility audit report.</t>
  </si>
  <si>
    <t>Sửa lỗi tương thích giữa các screen reader khác nhau</t>
  </si>
  <si>
    <t>Viết E2E test bằng Playwright cho luồng 2D, nghe audio, xem transcript và gửi báo cáo nội dung; bàn giao bộ test script E2E.</t>
  </si>
  <si>
    <t>Flaky tests do thời gian tải asset 3D không đồng đều</t>
  </si>
  <si>
    <t>Kiểm thử E2E toàn bộ luồng CMS Admin: tạo phòng, hiện vật, upload media, duyệt xuất bản, xử lý báo cáo; bàn giao E2E test CMS report.</t>
  </si>
  <si>
    <t>Đảm bảo tính toàn vẹn dữ liệu từ nháp sang công khai</t>
  </si>
  <si>
    <t>Tổng hợp Bug Log, phân loại mức độ nghiêm trọng (Blocker/Critical/Minor), điều phối Bug Fixing Sprint hoàn thiện Production v1.</t>
  </si>
  <si>
    <t>Ưu tiên sửa triệt để bug Blocker/Critical trước khi sang Phase 3</t>
  </si>
  <si>
    <t>🚀 GIAI ĐOẠN 3: MỞ RỘNG (NẾU CÒN THỜI GIAN) (21/11/2026 – 08/12/2026)</t>
  </si>
  <si>
    <t>Mở rộng Module Quản lý API Key cho Bên thứ ba (sinh key, cấp quyền theo scope, rate limit per key, thu hồi key).</t>
  </si>
  <si>
    <t>Mã hóa lưu trữ hash của API key an toàn</t>
  </si>
  <si>
    <t>Xây dựng Scheduled Job tự động dọn dẹp Analytics events theo chính sách lưu trữ (retention policy) và tổng hợp báo cáo.</t>
  </si>
  <si>
    <t>Đảm bảo job chạy idempotent không làm treo DB</t>
  </si>
  <si>
    <t>Xây dựng API Nhập/Xuất dữ liệu theo lô (Bulk Import/Export JSON/CSV) cho hiện vật kèm kiểm tra hợp lệ từng dòng.</t>
  </si>
  <si>
    <t>Báo lỗi chi tiết theo từng bản ghi trong tệp import</t>
  </si>
  <si>
    <t>Xây dựng Module và API Đa ngôn ngữ (i18n) cho nội dung hiện vật (Anh, Trung, Hàn, Nhật) kèm cơ chế tự động fallback về Tiếng Việt.</t>
  </si>
  <si>
    <t>Xử lý fallback về Tiếng Việt khi chưa có bản dịch được duyệt</t>
  </si>
  <si>
    <t>Phát triển Chế độ Tham quan có hướng dẫn (Guided Tour) tự động di chuyển camera 3D theo lộ trình displayOrder các hiện vật.</t>
  </si>
  <si>
    <t>Tính toán mượt mà đường đi của Camera giữa các hiện vật</t>
  </si>
  <si>
    <t>Tối ưu nâng cao Asset 3D Pipeline: áp dụng nén mesh Draco, cấu hình đa mức chi tiết (LOD) và tự động sinh ảnh WebP.</t>
  </si>
  <si>
    <t>Đảm bảo không làm giảm chất lượng thị giác của hiện vật</t>
  </si>
  <si>
    <t>Phát triển thanh điều khiển Guided Tour UI (Bắt đầu, Tạm dừng, Tiếp theo, Thoát tour) đồng bộ trạng thái trên cả 2D và 3D.</t>
  </si>
  <si>
    <t>Không khóa quyền tham quan tự do khi người dùng muốn dừng tour</t>
  </si>
  <si>
    <t>Mở rộng Giao diện Client hỗ trợ chuyển đổi đa ngôn ngữ UI, hiển thị Transcript / Phụ đề đa ngôn ngữ đồng bộ audio.</t>
  </si>
  <si>
    <t>Đảm bảo hiển thị đúng font chữ đa ngôn ngữ (Trung, Hàn, Nhật)</t>
  </si>
  <si>
    <t>Mở rộng CMS UI cho phép Quản trị viên nhập bản dịch đa ngôn ngữ song song và quản lý danh sách API Key của đối tác.</t>
  </si>
  <si>
    <t>Tùy chọn xem bản dịch song song với ngôn ngữ gốc</t>
  </si>
  <si>
    <t>Hoàn thiện bàn giao hệ thống, nghiệm thu dự án, xuất bản tài liệu API Docs (Swagger/OpenAPI) và tài liệu Hướng dẫn sử dụng CMS.</t>
  </si>
  <si>
    <t>Hoàn thiện tài liệu nghiệm thu cuối cùng dự 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</si>
</sst>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/mm/yyyy"/>
  </numFmts>
  <fonts count="27">
    <font>
      <sz val="10.0"/>
      <color rgb="FF000000"/>
      <name val="Arial"/>
      <scheme val="minor"/>
    </font>
    <font>
      <b/>
      <sz val="16.0"/>
      <color rgb="FF1A227D"/>
      <name val="Google Sans"/>
    </font>
    <font>
      <sz val="10.0"/>
      <color rgb="FF596072"/>
      <name val="Google Sans"/>
    </font>
    <font>
      <b/>
      <sz val="9.0"/>
      <color rgb="FF465469"/>
      <name val="Google Sans"/>
    </font>
    <font/>
    <font>
      <b/>
      <sz val="9.0"/>
      <color rgb="FF065F46"/>
      <name val="Google Sans"/>
    </font>
    <font>
      <b/>
      <sz val="9.0"/>
      <color rgb="FF0369A0"/>
      <name val="Google Sans"/>
    </font>
    <font>
      <b/>
      <sz val="9.0"/>
      <color rgb="FF6C28D9"/>
      <name val="Google Sans"/>
    </font>
    <font>
      <b/>
      <sz val="9.0"/>
      <color rgb="FFB45208"/>
      <name val="Google Sans"/>
    </font>
    <font>
      <b/>
      <sz val="20.0"/>
      <color rgb="FF1E293A"/>
      <name val="Google Sans"/>
    </font>
    <font>
      <b/>
      <sz val="20.0"/>
      <color rgb="FF047856"/>
      <name val="Google Sans"/>
    </font>
    <font>
      <b/>
      <sz val="20.0"/>
      <color rgb="FF0284C6"/>
      <name val="Google Sans"/>
    </font>
    <font>
      <b/>
      <sz val="20.0"/>
      <color rgb="FF7B39ED"/>
      <name val="Google Sans"/>
    </font>
    <font>
      <b/>
      <sz val="20.0"/>
      <color rgb="FFD97706"/>
      <name val="Google Sans"/>
    </font>
    <font>
      <sz val="8.0"/>
      <color rgb="FF6A7887"/>
      <name val="Google Sans"/>
    </font>
    <font>
      <sz val="8.0"/>
      <color rgb="FF337F59"/>
      <name val="Google Sans"/>
    </font>
    <font>
      <sz val="8.0"/>
      <color rgb="FF197299"/>
      <name val="Google Sans"/>
    </font>
    <font>
      <sz val="8.0"/>
      <color rgb="FF724CB2"/>
      <name val="Google Sans"/>
    </font>
    <font>
      <sz val="8.0"/>
      <color rgb="FFA57226"/>
      <name val="Google Sans"/>
    </font>
    <font>
      <color theme="1"/>
      <name val="Arial"/>
      <scheme val="minor"/>
    </font>
    <font>
      <b/>
      <sz val="10.0"/>
      <color rgb="FFFFFFFF"/>
      <name val="Google Sans"/>
    </font>
    <font>
      <b/>
      <sz val="10.0"/>
      <color rgb="FF9900FF"/>
      <name val="Google Sans"/>
    </font>
    <font>
      <sz val="9.0"/>
      <color rgb="FF637483"/>
      <name val="Google Sans"/>
    </font>
    <font>
      <b/>
      <sz val="9.0"/>
      <color rgb="FF0F162A"/>
      <name val="Google Sans"/>
    </font>
    <font>
      <sz val="9.0"/>
      <color rgb="FF465469"/>
      <name val="Google Sans"/>
    </font>
    <font>
      <sz val="9.0"/>
      <color rgb="FF1E1E1E"/>
      <name val="Google Sans"/>
    </font>
    <font>
      <sz val="9.0"/>
      <color rgb="FF334154"/>
      <name val="Google Sans"/>
    </font>
  </fonts>
  <fills count="10">
    <fill>
      <patternFill patternType="none"/>
    </fill>
    <fill>
      <patternFill patternType="lightGray"/>
    </fill>
    <fill>
      <patternFill patternType="solid">
        <fgColor rgb="FFF0F5F8"/>
        <bgColor rgb="FFF0F5F8"/>
      </patternFill>
    </fill>
    <fill>
      <patternFill patternType="solid">
        <fgColor rgb="FFEBFCF5"/>
        <bgColor rgb="FFEBFCF5"/>
      </patternFill>
    </fill>
    <fill>
      <patternFill patternType="solid">
        <fgColor rgb="FFEFF8FF"/>
        <bgColor rgb="FFEFF8FF"/>
      </patternFill>
    </fill>
    <fill>
      <patternFill patternType="solid">
        <fgColor rgb="FFF5F3FF"/>
        <bgColor rgb="FFF5F3FF"/>
      </patternFill>
    </fill>
    <fill>
      <patternFill patternType="solid">
        <fgColor rgb="FFFFFAEB"/>
        <bgColor rgb="FFFFFAEB"/>
      </patternFill>
    </fill>
    <fill>
      <patternFill patternType="solid">
        <fgColor rgb="FFF9F9F9"/>
        <bgColor rgb="FFF9F9F9"/>
      </patternFill>
    </fill>
    <fill>
      <patternFill patternType="solid">
        <fgColor rgb="FF1E2957"/>
        <bgColor rgb="FF1E2957"/>
      </patternFill>
    </fill>
    <fill>
      <patternFill patternType="solid">
        <fgColor rgb="FFEDF1FF"/>
        <bgColor rgb="FFEDF1FF"/>
      </patternFill>
    </fill>
  </fills>
  <borders count="22">
    <border/>
    <border>
      <left style="thin">
        <color rgb="FFCCD6E0"/>
      </left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CCD6E0"/>
      </left>
      <right style="thin">
        <color rgb="FFCCD6E0"/>
      </right>
      <top style="thin">
        <color rgb="FFCCD6E0"/>
      </top>
    </border>
    <border>
      <left style="thin">
        <color rgb="FFCCD6E0"/>
      </left>
    </border>
    <border>
      <right style="thin">
        <color rgb="FFCCD6E0"/>
      </right>
    </border>
    <border>
      <left style="thin">
        <color rgb="FFCCD6E0"/>
      </left>
      <right style="thin">
        <color rgb="FFCCD6E0"/>
      </right>
    </border>
    <border>
      <left style="thin">
        <color rgb="FFCCD6E0"/>
      </left>
      <bottom style="thin">
        <color rgb="FFCCD6E0"/>
      </bottom>
    </border>
    <border>
      <right style="thin">
        <color rgb="FFCCD6E0"/>
      </right>
      <bottom style="thin">
        <color rgb="FFCCD6E0"/>
      </bottom>
    </border>
    <border>
      <left style="thin">
        <color rgb="FFCCD6E0"/>
      </left>
      <right style="thin">
        <color rgb="FFCCD6E0"/>
      </right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99A5B2"/>
      </left>
    </border>
    <border>
      <right style="thin">
        <color rgb="FF99A5B2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3" fontId="5" numFmtId="0" xfId="0" applyAlignment="1" applyBorder="1" applyFill="1" applyFont="1">
      <alignment horizontal="center" readingOrder="0" vertical="center"/>
    </xf>
    <xf borderId="3" fillId="4" fontId="6" numFmtId="0" xfId="0" applyAlignment="1" applyBorder="1" applyFill="1" applyFont="1">
      <alignment horizontal="center" readingOrder="0" vertical="center"/>
    </xf>
    <xf borderId="3" fillId="5" fontId="7" numFmtId="0" xfId="0" applyAlignment="1" applyBorder="1" applyFill="1" applyFont="1">
      <alignment horizontal="center" readingOrder="0" vertical="center"/>
    </xf>
    <xf borderId="1" fillId="6" fontId="8" numFmtId="0" xfId="0" applyAlignment="1" applyBorder="1" applyFill="1" applyFont="1">
      <alignment horizontal="center" readingOrder="0" vertical="center"/>
    </xf>
    <xf borderId="4" fillId="2" fontId="9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3" fontId="10" numFmtId="0" xfId="0" applyAlignment="1" applyBorder="1" applyFill="1" applyFont="1">
      <alignment horizontal="center" vertical="center"/>
    </xf>
    <xf borderId="6" fillId="4" fontId="11" numFmtId="0" xfId="0" applyAlignment="1" applyBorder="1" applyFill="1" applyFont="1">
      <alignment horizontal="center" vertical="center"/>
    </xf>
    <xf borderId="6" fillId="5" fontId="12" numFmtId="0" xfId="0" applyAlignment="1" applyBorder="1" applyFill="1" applyFont="1">
      <alignment horizontal="center" vertical="center"/>
    </xf>
    <xf borderId="4" fillId="6" fontId="13" numFmtId="164" xfId="0" applyAlignment="1" applyBorder="1" applyFill="1" applyFont="1" applyNumberFormat="1">
      <alignment horizontal="center" vertical="center"/>
    </xf>
    <xf borderId="7" fillId="2" fontId="14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9" fillId="3" fontId="15" numFmtId="0" xfId="0" applyAlignment="1" applyBorder="1" applyFill="1" applyFont="1">
      <alignment horizontal="center" readingOrder="0" vertical="center"/>
    </xf>
    <xf borderId="9" fillId="4" fontId="16" numFmtId="0" xfId="0" applyAlignment="1" applyBorder="1" applyFill="1" applyFont="1">
      <alignment horizontal="center" readingOrder="0" vertical="center"/>
    </xf>
    <xf borderId="9" fillId="5" fontId="17" numFmtId="0" xfId="0" applyAlignment="1" applyBorder="1" applyFill="1" applyFont="1">
      <alignment horizontal="center" readingOrder="0" vertical="center"/>
    </xf>
    <xf borderId="7" fillId="6" fontId="18" numFmtId="0" xfId="0" applyAlignment="1" applyBorder="1" applyFill="1" applyFont="1">
      <alignment horizontal="center" readingOrder="0" vertical="center"/>
    </xf>
    <xf borderId="10" fillId="7" fontId="19" numFmtId="0" xfId="0" applyAlignment="1" applyBorder="1" applyFill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8" fontId="20" numFmtId="0" xfId="0" applyAlignment="1" applyBorder="1" applyFill="1" applyFont="1">
      <alignment horizontal="center" readingOrder="0" vertical="center"/>
    </xf>
    <xf borderId="13" fillId="8" fontId="20" numFmtId="0" xfId="0" applyAlignment="1" applyBorder="1" applyFill="1" applyFont="1">
      <alignment horizontal="left" readingOrder="0" vertical="center"/>
    </xf>
    <xf borderId="14" fillId="9" fontId="21" numFmtId="0" xfId="0" applyAlignment="1" applyBorder="1" applyFill="1" applyFont="1">
      <alignment horizontal="left" readingOrder="0" vertical="center"/>
    </xf>
    <xf borderId="15" fillId="0" fontId="4" numFmtId="0" xfId="0" applyBorder="1" applyFont="1"/>
    <xf borderId="16" fillId="0" fontId="4" numFmtId="0" xfId="0" applyBorder="1" applyFont="1"/>
    <xf borderId="13" fillId="0" fontId="22" numFmtId="0" xfId="0" applyAlignment="1" applyBorder="1" applyFont="1">
      <alignment horizontal="center" readingOrder="0" vertical="center"/>
    </xf>
    <xf borderId="17" fillId="0" fontId="23" numFmtId="0" xfId="0" applyAlignment="1" applyBorder="1" applyFont="1">
      <alignment horizontal="left" readingOrder="0" vertical="center"/>
    </xf>
    <xf borderId="17" fillId="0" fontId="24" numFmtId="0" xfId="0" applyAlignment="1" applyBorder="1" applyFont="1">
      <alignment horizontal="left" readingOrder="0" vertical="center"/>
    </xf>
    <xf borderId="17" fillId="0" fontId="25" numFmtId="0" xfId="0" applyAlignment="1" applyBorder="1" applyFont="1">
      <alignment horizontal="left" readingOrder="0" shrinkToFit="0" vertical="center" wrapText="1"/>
    </xf>
    <xf borderId="17" fillId="0" fontId="26" numFmtId="165" xfId="0" applyAlignment="1" applyBorder="1" applyFont="1" applyNumberFormat="1">
      <alignment horizontal="center" readingOrder="0" vertical="center"/>
    </xf>
    <xf borderId="17" fillId="0" fontId="19" numFmtId="0" xfId="0" applyAlignment="1" applyBorder="1" applyFont="1">
      <alignment horizontal="center" readingOrder="0" vertical="center"/>
    </xf>
    <xf borderId="17" fillId="0" fontId="24" numFmtId="0" xfId="0" applyAlignment="1" applyBorder="1" applyFont="1">
      <alignment horizontal="left" readingOrder="0" shrinkToFit="0" vertical="center" wrapText="1"/>
    </xf>
    <xf borderId="18" fillId="0" fontId="4" numFmtId="0" xfId="0" applyBorder="1" applyFont="1"/>
    <xf borderId="13" fillId="0" fontId="23" numFmtId="0" xfId="0" applyAlignment="1" applyBorder="1" applyFont="1">
      <alignment horizontal="left" readingOrder="0" vertical="center"/>
    </xf>
    <xf borderId="13" fillId="0" fontId="24" numFmtId="0" xfId="0" applyAlignment="1" applyBorder="1" applyFont="1">
      <alignment horizontal="left" readingOrder="0" vertical="center"/>
    </xf>
    <xf borderId="13" fillId="0" fontId="25" numFmtId="0" xfId="0" applyAlignment="1" applyBorder="1" applyFont="1">
      <alignment horizontal="left" readingOrder="0" shrinkToFit="0" vertical="center" wrapText="1"/>
    </xf>
    <xf borderId="13" fillId="0" fontId="26" numFmtId="165" xfId="0" applyAlignment="1" applyBorder="1" applyFont="1" applyNumberFormat="1">
      <alignment horizontal="center" readingOrder="0" vertical="center"/>
    </xf>
    <xf borderId="13" fillId="0" fontId="19" numFmtId="0" xfId="0" applyAlignment="1" applyBorder="1" applyFont="1">
      <alignment horizontal="center" readingOrder="0" vertical="center"/>
    </xf>
    <xf borderId="13" fillId="0" fontId="24" numFmtId="0" xfId="0" applyAlignment="1" applyBorder="1" applyFont="1">
      <alignment horizontal="left" readingOrder="0" shrinkToFit="0" vertical="center" wrapText="1"/>
    </xf>
    <xf borderId="19" fillId="0" fontId="22" numFmtId="0" xfId="0" applyAlignment="1" applyBorder="1" applyFont="1">
      <alignment horizontal="center" readingOrder="0" vertical="center"/>
    </xf>
    <xf borderId="19" fillId="0" fontId="23" numFmtId="0" xfId="0" applyAlignment="1" applyBorder="1" applyFont="1">
      <alignment horizontal="left" readingOrder="0" vertical="center"/>
    </xf>
    <xf borderId="19" fillId="0" fontId="25" numFmtId="0" xfId="0" applyAlignment="1" applyBorder="1" applyFont="1">
      <alignment horizontal="left" readingOrder="0" shrinkToFit="0" vertical="center" wrapText="1"/>
    </xf>
    <xf borderId="19" fillId="0" fontId="26" numFmtId="165" xfId="0" applyAlignment="1" applyBorder="1" applyFont="1" applyNumberFormat="1">
      <alignment horizontal="center" readingOrder="0" vertical="center"/>
    </xf>
    <xf borderId="19" fillId="0" fontId="19" numFmtId="0" xfId="0" applyAlignment="1" applyBorder="1" applyFont="1">
      <alignment horizontal="center" readingOrder="0" vertical="center"/>
    </xf>
    <xf borderId="19" fillId="0" fontId="24" numFmtId="0" xfId="0" applyAlignment="1" applyBorder="1" applyFont="1">
      <alignment horizontal="left" readingOrder="0" shrinkToFit="0" vertical="center" wrapText="1"/>
    </xf>
    <xf borderId="18" fillId="0" fontId="22" numFmtId="0" xfId="0" applyAlignment="1" applyBorder="1" applyFont="1">
      <alignment horizontal="center" readingOrder="0" vertical="center"/>
    </xf>
    <xf borderId="18" fillId="0" fontId="23" numFmtId="0" xfId="0" applyAlignment="1" applyBorder="1" applyFont="1">
      <alignment horizontal="left" readingOrder="0" vertical="center"/>
    </xf>
    <xf borderId="18" fillId="0" fontId="24" numFmtId="0" xfId="0" applyAlignment="1" applyBorder="1" applyFont="1">
      <alignment horizontal="left" readingOrder="0" vertical="center"/>
    </xf>
    <xf borderId="18" fillId="0" fontId="25" numFmtId="0" xfId="0" applyAlignment="1" applyBorder="1" applyFont="1">
      <alignment horizontal="left" readingOrder="0" shrinkToFit="0" vertical="center" wrapText="1"/>
    </xf>
    <xf borderId="18" fillId="0" fontId="26" numFmtId="165" xfId="0" applyAlignment="1" applyBorder="1" applyFont="1" applyNumberFormat="1">
      <alignment horizontal="center" readingOrder="0" vertical="center"/>
    </xf>
    <xf borderId="18" fillId="0" fontId="19" numFmtId="0" xfId="0" applyAlignment="1" applyBorder="1" applyFont="1">
      <alignment horizontal="center" readingOrder="0" vertical="center"/>
    </xf>
    <xf borderId="18" fillId="0" fontId="24" numFmtId="0" xfId="0" applyAlignment="1" applyBorder="1" applyFont="1">
      <alignment horizontal="left" readingOrder="0" shrinkToFit="0" vertical="center" wrapText="1"/>
    </xf>
    <xf borderId="20" fillId="3" fontId="21" numFmtId="0" xfId="0" applyAlignment="1" applyBorder="1" applyFill="1" applyFont="1">
      <alignment horizontal="left" readingOrder="0" vertical="center"/>
    </xf>
    <xf borderId="21" fillId="0" fontId="4" numFmtId="0" xfId="0" applyBorder="1" applyFont="1"/>
    <xf borderId="20" fillId="6" fontId="21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2.75"/>
    <col customWidth="1" min="2" max="2" width="6.13"/>
    <col customWidth="1" min="3" max="3" width="20.75"/>
    <col customWidth="1" min="4" max="4" width="32.63"/>
    <col customWidth="1" min="5" max="5" width="53.88"/>
    <col customWidth="1" min="6" max="7" width="13.25"/>
    <col customWidth="1" min="8" max="8" width="22.13"/>
    <col customWidth="1" min="9" max="9" width="55.0"/>
  </cols>
  <sheetData>
    <row r="1" ht="6.75" customHeight="1"/>
    <row r="2" ht="27.0" customHeight="1">
      <c r="B2" s="1" t="s">
        <v>0</v>
      </c>
    </row>
    <row r="3" ht="18.0" customHeight="1">
      <c r="B3" s="2" t="s">
        <v>1</v>
      </c>
    </row>
    <row r="4" ht="10.5" customHeight="1"/>
    <row r="5" ht="16.5" customHeight="1">
      <c r="B5" s="3" t="s">
        <v>2</v>
      </c>
      <c r="C5" s="4"/>
      <c r="D5" s="5" t="s">
        <v>3</v>
      </c>
      <c r="E5" s="6" t="s">
        <v>4</v>
      </c>
      <c r="F5" s="7" t="s">
        <v>5</v>
      </c>
      <c r="G5" s="8" t="s">
        <v>6</v>
      </c>
      <c r="H5" s="4"/>
    </row>
    <row r="6" ht="27.0" customHeight="1">
      <c r="B6" s="9">
        <f>COUNTA(H12:H37)+COUNTA(H39:H48)+COUNTA(H50:H59)</f>
        <v>45</v>
      </c>
      <c r="C6" s="10"/>
      <c r="D6" s="11">
        <f>COUNTIF(H12:H59, "Hoàn thành")</f>
        <v>0</v>
      </c>
      <c r="E6" s="12">
        <f>COUNTIF(H12:H59, "Đang thực hiện")</f>
        <v>1</v>
      </c>
      <c r="F6" s="13">
        <f>COUNTIF(H12:H59, "Chưa bắt đầu")</f>
        <v>44</v>
      </c>
      <c r="G6" s="14">
        <f>IFERROR(D6/B6, 0)</f>
        <v>0</v>
      </c>
      <c r="H6" s="10"/>
    </row>
    <row r="7" ht="15.0" customHeight="1">
      <c r="B7" s="15" t="s">
        <v>7</v>
      </c>
      <c r="C7" s="16"/>
      <c r="D7" s="17" t="s">
        <v>8</v>
      </c>
      <c r="E7" s="18" t="s">
        <v>9</v>
      </c>
      <c r="F7" s="19" t="s">
        <v>10</v>
      </c>
      <c r="G7" s="20" t="s">
        <v>11</v>
      </c>
      <c r="H7" s="16"/>
    </row>
    <row r="8" ht="13.5" customHeight="1">
      <c r="B8" s="21" t="str">
        <f>IFERROR(__xludf.DUMMYFUNCTION("SPARKLINE(D6, {""charttype"", ""bar""; ""max"", IF(B6=0, 1, B6); ""color1"", ""#3FC08B""})"),"")</f>
        <v/>
      </c>
      <c r="C8" s="22"/>
      <c r="D8" s="22"/>
      <c r="E8" s="22"/>
      <c r="F8" s="22"/>
      <c r="G8" s="22"/>
      <c r="H8" s="23"/>
    </row>
    <row r="9" ht="10.5" customHeight="1"/>
    <row r="10" ht="24.0" customHeight="1">
      <c r="B10" s="24" t="s">
        <v>12</v>
      </c>
      <c r="C10" s="25" t="s">
        <v>13</v>
      </c>
      <c r="D10" s="25" t="s">
        <v>14</v>
      </c>
      <c r="E10" s="25" t="s">
        <v>15</v>
      </c>
      <c r="F10" s="24" t="s">
        <v>16</v>
      </c>
      <c r="G10" s="24" t="s">
        <v>17</v>
      </c>
      <c r="H10" s="24" t="s">
        <v>18</v>
      </c>
      <c r="I10" s="25" t="s">
        <v>19</v>
      </c>
    </row>
    <row r="11" ht="21.0" customHeight="1">
      <c r="B11" s="26" t="s">
        <v>20</v>
      </c>
      <c r="C11" s="27"/>
      <c r="D11" s="27"/>
      <c r="E11" s="27"/>
      <c r="F11" s="27"/>
      <c r="G11" s="27"/>
      <c r="H11" s="27"/>
      <c r="I11" s="28"/>
    </row>
    <row r="12" ht="26.25" customHeight="1">
      <c r="B12" s="29">
        <v>1.0</v>
      </c>
      <c r="C12" s="30" t="s">
        <v>21</v>
      </c>
      <c r="D12" s="31" t="s">
        <v>22</v>
      </c>
      <c r="E12" s="32" t="s">
        <v>23</v>
      </c>
      <c r="F12" s="33">
        <v>46303.0</v>
      </c>
      <c r="G12" s="33">
        <v>46305.0</v>
      </c>
      <c r="H12" s="34" t="s">
        <v>24</v>
      </c>
      <c r="I12" s="35" t="s">
        <v>25</v>
      </c>
    </row>
    <row r="13" ht="26.25" customHeight="1">
      <c r="B13" s="29"/>
      <c r="C13" s="36"/>
      <c r="D13" s="36"/>
      <c r="E13" s="36"/>
      <c r="F13" s="36"/>
      <c r="G13" s="36"/>
      <c r="H13" s="36"/>
      <c r="I13" s="36"/>
    </row>
    <row r="14" ht="26.25" customHeight="1">
      <c r="B14" s="29">
        <v>2.0</v>
      </c>
      <c r="C14" s="37" t="s">
        <v>21</v>
      </c>
      <c r="D14" s="38" t="s">
        <v>22</v>
      </c>
      <c r="E14" s="39" t="s">
        <v>26</v>
      </c>
      <c r="F14" s="40">
        <v>46308.0</v>
      </c>
      <c r="G14" s="40">
        <v>46312.0</v>
      </c>
      <c r="H14" s="41" t="s">
        <v>27</v>
      </c>
      <c r="I14" s="42" t="s">
        <v>28</v>
      </c>
    </row>
    <row r="15" ht="26.25" customHeight="1">
      <c r="B15" s="29">
        <v>3.0</v>
      </c>
      <c r="C15" s="37" t="s">
        <v>21</v>
      </c>
      <c r="D15" s="38" t="s">
        <v>22</v>
      </c>
      <c r="E15" s="39" t="s">
        <v>29</v>
      </c>
      <c r="F15" s="40">
        <v>46313.0</v>
      </c>
      <c r="G15" s="40">
        <v>46319.0</v>
      </c>
      <c r="H15" s="41" t="s">
        <v>27</v>
      </c>
      <c r="I15" s="42" t="s">
        <v>30</v>
      </c>
    </row>
    <row r="16" ht="26.25" customHeight="1">
      <c r="B16" s="29">
        <v>4.0</v>
      </c>
      <c r="C16" s="37" t="s">
        <v>21</v>
      </c>
      <c r="D16" s="38" t="s">
        <v>22</v>
      </c>
      <c r="E16" s="39" t="s">
        <v>31</v>
      </c>
      <c r="F16" s="40">
        <v>46320.0</v>
      </c>
      <c r="G16" s="40">
        <v>46326.0</v>
      </c>
      <c r="H16" s="41" t="s">
        <v>27</v>
      </c>
      <c r="I16" s="42" t="s">
        <v>32</v>
      </c>
    </row>
    <row r="17" ht="26.25" customHeight="1">
      <c r="B17" s="43">
        <v>5.0</v>
      </c>
      <c r="C17" s="44" t="s">
        <v>21</v>
      </c>
      <c r="D17" s="38" t="s">
        <v>22</v>
      </c>
      <c r="E17" s="45" t="s">
        <v>33</v>
      </c>
      <c r="F17" s="46">
        <v>46327.0</v>
      </c>
      <c r="G17" s="46">
        <v>46335.0</v>
      </c>
      <c r="H17" s="47" t="s">
        <v>27</v>
      </c>
      <c r="I17" s="48" t="s">
        <v>34</v>
      </c>
    </row>
    <row r="18" ht="26.25" customHeight="1">
      <c r="B18" s="49">
        <v>6.0</v>
      </c>
      <c r="C18" s="50" t="s">
        <v>35</v>
      </c>
      <c r="D18" s="51" t="s">
        <v>36</v>
      </c>
      <c r="E18" s="52" t="s">
        <v>37</v>
      </c>
      <c r="F18" s="53">
        <v>46306.0</v>
      </c>
      <c r="G18" s="53">
        <v>46309.0</v>
      </c>
      <c r="H18" s="54" t="s">
        <v>27</v>
      </c>
      <c r="I18" s="55" t="s">
        <v>38</v>
      </c>
    </row>
    <row r="19" ht="26.25" customHeight="1">
      <c r="B19" s="29">
        <v>7.0</v>
      </c>
      <c r="C19" s="37" t="s">
        <v>35</v>
      </c>
      <c r="D19" s="51" t="s">
        <v>36</v>
      </c>
      <c r="E19" s="39" t="s">
        <v>39</v>
      </c>
      <c r="F19" s="40">
        <v>46310.0</v>
      </c>
      <c r="G19" s="40">
        <v>46316.0</v>
      </c>
      <c r="H19" s="41" t="s">
        <v>27</v>
      </c>
      <c r="I19" s="42" t="s">
        <v>40</v>
      </c>
    </row>
    <row r="20" ht="26.25" customHeight="1">
      <c r="B20" s="29">
        <v>8.0</v>
      </c>
      <c r="C20" s="37" t="s">
        <v>35</v>
      </c>
      <c r="D20" s="51" t="s">
        <v>36</v>
      </c>
      <c r="E20" s="39" t="s">
        <v>41</v>
      </c>
      <c r="F20" s="40">
        <v>46317.0</v>
      </c>
      <c r="G20" s="40">
        <v>46323.0</v>
      </c>
      <c r="H20" s="41" t="s">
        <v>27</v>
      </c>
      <c r="I20" s="42" t="s">
        <v>42</v>
      </c>
    </row>
    <row r="21" ht="26.25" customHeight="1">
      <c r="B21" s="29">
        <v>9.0</v>
      </c>
      <c r="C21" s="37" t="s">
        <v>35</v>
      </c>
      <c r="D21" s="51" t="s">
        <v>36</v>
      </c>
      <c r="E21" s="39" t="s">
        <v>43</v>
      </c>
      <c r="F21" s="40">
        <v>46324.0</v>
      </c>
      <c r="G21" s="40">
        <v>46330.0</v>
      </c>
      <c r="H21" s="41" t="s">
        <v>27</v>
      </c>
      <c r="I21" s="42" t="s">
        <v>44</v>
      </c>
    </row>
    <row r="22" ht="26.25" customHeight="1">
      <c r="B22" s="43">
        <v>10.0</v>
      </c>
      <c r="C22" s="44" t="s">
        <v>35</v>
      </c>
      <c r="D22" s="51" t="s">
        <v>36</v>
      </c>
      <c r="E22" s="45" t="s">
        <v>45</v>
      </c>
      <c r="F22" s="46">
        <v>46331.0</v>
      </c>
      <c r="G22" s="46">
        <v>46335.0</v>
      </c>
      <c r="H22" s="47" t="s">
        <v>27</v>
      </c>
      <c r="I22" s="48" t="s">
        <v>46</v>
      </c>
    </row>
    <row r="23" ht="26.25" customHeight="1">
      <c r="B23" s="49">
        <v>11.0</v>
      </c>
      <c r="C23" s="50" t="s">
        <v>47</v>
      </c>
      <c r="D23" s="51" t="s">
        <v>36</v>
      </c>
      <c r="E23" s="52" t="s">
        <v>48</v>
      </c>
      <c r="F23" s="53">
        <v>46304.0</v>
      </c>
      <c r="G23" s="53">
        <v>46309.0</v>
      </c>
      <c r="H23" s="54" t="s">
        <v>27</v>
      </c>
      <c r="I23" s="55" t="s">
        <v>49</v>
      </c>
    </row>
    <row r="24" ht="26.25" customHeight="1">
      <c r="B24" s="29">
        <v>12.0</v>
      </c>
      <c r="C24" s="37" t="s">
        <v>47</v>
      </c>
      <c r="D24" s="51" t="s">
        <v>36</v>
      </c>
      <c r="E24" s="39" t="s">
        <v>50</v>
      </c>
      <c r="F24" s="40">
        <v>46310.0</v>
      </c>
      <c r="G24" s="40">
        <v>46316.0</v>
      </c>
      <c r="H24" s="41" t="s">
        <v>27</v>
      </c>
      <c r="I24" s="42" t="s">
        <v>51</v>
      </c>
    </row>
    <row r="25" ht="26.25" customHeight="1">
      <c r="B25" s="29">
        <v>13.0</v>
      </c>
      <c r="C25" s="37" t="s">
        <v>47</v>
      </c>
      <c r="D25" s="51" t="s">
        <v>36</v>
      </c>
      <c r="E25" s="39" t="s">
        <v>52</v>
      </c>
      <c r="F25" s="40">
        <v>46317.0</v>
      </c>
      <c r="G25" s="40">
        <v>46323.0</v>
      </c>
      <c r="H25" s="41" t="s">
        <v>27</v>
      </c>
      <c r="I25" s="42" t="s">
        <v>53</v>
      </c>
    </row>
    <row r="26" ht="26.25" customHeight="1">
      <c r="B26" s="29">
        <v>14.0</v>
      </c>
      <c r="C26" s="37" t="s">
        <v>47</v>
      </c>
      <c r="D26" s="51" t="s">
        <v>36</v>
      </c>
      <c r="E26" s="39" t="s">
        <v>54</v>
      </c>
      <c r="F26" s="40">
        <v>46324.0</v>
      </c>
      <c r="G26" s="40">
        <v>46330.0</v>
      </c>
      <c r="H26" s="41" t="s">
        <v>27</v>
      </c>
      <c r="I26" s="42" t="s">
        <v>55</v>
      </c>
    </row>
    <row r="27" ht="26.25" customHeight="1">
      <c r="B27" s="43">
        <v>15.0</v>
      </c>
      <c r="C27" s="44" t="s">
        <v>47</v>
      </c>
      <c r="D27" s="51" t="s">
        <v>36</v>
      </c>
      <c r="E27" s="45" t="s">
        <v>56</v>
      </c>
      <c r="F27" s="46">
        <v>46331.0</v>
      </c>
      <c r="G27" s="46">
        <v>46335.0</v>
      </c>
      <c r="H27" s="47" t="s">
        <v>27</v>
      </c>
      <c r="I27" s="48" t="s">
        <v>57</v>
      </c>
    </row>
    <row r="28" ht="26.25" customHeight="1">
      <c r="B28" s="49">
        <v>16.0</v>
      </c>
      <c r="C28" s="50" t="s">
        <v>58</v>
      </c>
      <c r="D28" s="51" t="s">
        <v>36</v>
      </c>
      <c r="E28" s="52" t="s">
        <v>59</v>
      </c>
      <c r="F28" s="53">
        <v>46304.0</v>
      </c>
      <c r="G28" s="53">
        <v>46308.0</v>
      </c>
      <c r="H28" s="54" t="s">
        <v>27</v>
      </c>
      <c r="I28" s="55" t="s">
        <v>60</v>
      </c>
    </row>
    <row r="29" ht="26.25" customHeight="1">
      <c r="B29" s="29">
        <v>17.0</v>
      </c>
      <c r="C29" s="37" t="s">
        <v>58</v>
      </c>
      <c r="D29" s="51" t="s">
        <v>36</v>
      </c>
      <c r="E29" s="39" t="s">
        <v>61</v>
      </c>
      <c r="F29" s="40">
        <v>46309.0</v>
      </c>
      <c r="G29" s="40">
        <v>46314.0</v>
      </c>
      <c r="H29" s="41" t="s">
        <v>27</v>
      </c>
      <c r="I29" s="42" t="s">
        <v>62</v>
      </c>
    </row>
    <row r="30" ht="26.25" customHeight="1">
      <c r="B30" s="29">
        <v>18.0</v>
      </c>
      <c r="C30" s="37" t="s">
        <v>58</v>
      </c>
      <c r="D30" s="51" t="s">
        <v>36</v>
      </c>
      <c r="E30" s="39" t="s">
        <v>63</v>
      </c>
      <c r="F30" s="40">
        <v>46315.0</v>
      </c>
      <c r="G30" s="40">
        <v>46320.0</v>
      </c>
      <c r="H30" s="41" t="s">
        <v>27</v>
      </c>
      <c r="I30" s="42" t="s">
        <v>64</v>
      </c>
    </row>
    <row r="31" ht="26.25" customHeight="1">
      <c r="B31" s="29">
        <v>19.0</v>
      </c>
      <c r="C31" s="37" t="s">
        <v>58</v>
      </c>
      <c r="D31" s="51" t="s">
        <v>36</v>
      </c>
      <c r="E31" s="39" t="s">
        <v>65</v>
      </c>
      <c r="F31" s="40">
        <v>46321.0</v>
      </c>
      <c r="G31" s="40">
        <v>46327.0</v>
      </c>
      <c r="H31" s="41" t="s">
        <v>27</v>
      </c>
      <c r="I31" s="42" t="s">
        <v>66</v>
      </c>
    </row>
    <row r="32" ht="26.25" customHeight="1">
      <c r="B32" s="43">
        <v>20.0</v>
      </c>
      <c r="C32" s="44" t="s">
        <v>58</v>
      </c>
      <c r="D32" s="51" t="s">
        <v>36</v>
      </c>
      <c r="E32" s="45" t="s">
        <v>67</v>
      </c>
      <c r="F32" s="46">
        <v>46328.0</v>
      </c>
      <c r="G32" s="46">
        <v>46335.0</v>
      </c>
      <c r="H32" s="47" t="s">
        <v>27</v>
      </c>
      <c r="I32" s="48" t="s">
        <v>68</v>
      </c>
    </row>
    <row r="33" ht="26.25" customHeight="1">
      <c r="B33" s="49">
        <v>21.0</v>
      </c>
      <c r="C33" s="50" t="s">
        <v>69</v>
      </c>
      <c r="D33" s="51" t="s">
        <v>36</v>
      </c>
      <c r="E33" s="52" t="s">
        <v>70</v>
      </c>
      <c r="F33" s="53">
        <v>46304.0</v>
      </c>
      <c r="G33" s="53">
        <v>46309.0</v>
      </c>
      <c r="H33" s="54" t="s">
        <v>27</v>
      </c>
      <c r="I33" s="55" t="s">
        <v>71</v>
      </c>
    </row>
    <row r="34" ht="26.25" customHeight="1">
      <c r="B34" s="29">
        <v>22.0</v>
      </c>
      <c r="C34" s="37" t="s">
        <v>69</v>
      </c>
      <c r="D34" s="38" t="s">
        <v>36</v>
      </c>
      <c r="E34" s="39" t="s">
        <v>72</v>
      </c>
      <c r="F34" s="40">
        <v>46310.0</v>
      </c>
      <c r="G34" s="40">
        <v>46316.0</v>
      </c>
      <c r="H34" s="41" t="s">
        <v>27</v>
      </c>
      <c r="I34" s="42" t="s">
        <v>73</v>
      </c>
    </row>
    <row r="35" ht="26.25" customHeight="1">
      <c r="B35" s="29">
        <v>23.0</v>
      </c>
      <c r="C35" s="37" t="s">
        <v>69</v>
      </c>
      <c r="D35" s="38" t="s">
        <v>36</v>
      </c>
      <c r="E35" s="39" t="s">
        <v>74</v>
      </c>
      <c r="F35" s="40">
        <v>46317.0</v>
      </c>
      <c r="G35" s="40">
        <v>46323.0</v>
      </c>
      <c r="H35" s="41" t="s">
        <v>27</v>
      </c>
      <c r="I35" s="42" t="s">
        <v>75</v>
      </c>
    </row>
    <row r="36" ht="26.25" customHeight="1">
      <c r="B36" s="29">
        <v>24.0</v>
      </c>
      <c r="C36" s="37" t="s">
        <v>69</v>
      </c>
      <c r="D36" s="38" t="s">
        <v>36</v>
      </c>
      <c r="E36" s="39" t="s">
        <v>76</v>
      </c>
      <c r="F36" s="40">
        <v>46324.0</v>
      </c>
      <c r="G36" s="40">
        <v>46330.0</v>
      </c>
      <c r="H36" s="41" t="s">
        <v>27</v>
      </c>
      <c r="I36" s="42" t="s">
        <v>77</v>
      </c>
    </row>
    <row r="37" ht="26.25" customHeight="1">
      <c r="B37" s="29">
        <v>25.0</v>
      </c>
      <c r="C37" s="37" t="s">
        <v>69</v>
      </c>
      <c r="D37" s="38" t="s">
        <v>36</v>
      </c>
      <c r="E37" s="39" t="s">
        <v>78</v>
      </c>
      <c r="F37" s="40">
        <v>46331.0</v>
      </c>
      <c r="G37" s="40">
        <v>46335.0</v>
      </c>
      <c r="H37" s="41" t="s">
        <v>27</v>
      </c>
      <c r="I37" s="42" t="s">
        <v>79</v>
      </c>
    </row>
    <row r="38" ht="26.25" customHeight="1">
      <c r="B38" s="56" t="s">
        <v>80</v>
      </c>
      <c r="I38" s="57"/>
    </row>
    <row r="39" ht="26.25" customHeight="1">
      <c r="B39" s="29">
        <v>26.0</v>
      </c>
      <c r="C39" s="37" t="s">
        <v>21</v>
      </c>
      <c r="D39" s="38" t="s">
        <v>22</v>
      </c>
      <c r="E39" s="39" t="s">
        <v>81</v>
      </c>
      <c r="F39" s="40">
        <v>46336.0</v>
      </c>
      <c r="G39" s="40">
        <v>46340.0</v>
      </c>
      <c r="H39" s="41" t="s">
        <v>27</v>
      </c>
      <c r="I39" s="42" t="s">
        <v>82</v>
      </c>
    </row>
    <row r="40" ht="26.25" customHeight="1">
      <c r="B40" s="43">
        <v>27.0</v>
      </c>
      <c r="C40" s="44" t="s">
        <v>21</v>
      </c>
      <c r="D40" s="38" t="s">
        <v>22</v>
      </c>
      <c r="E40" s="45" t="s">
        <v>83</v>
      </c>
      <c r="F40" s="46">
        <v>46341.0</v>
      </c>
      <c r="G40" s="46">
        <v>46346.0</v>
      </c>
      <c r="H40" s="47" t="s">
        <v>27</v>
      </c>
      <c r="I40" s="48" t="s">
        <v>84</v>
      </c>
    </row>
    <row r="41" ht="26.25" customHeight="1">
      <c r="B41" s="49">
        <v>28.0</v>
      </c>
      <c r="C41" s="50" t="s">
        <v>35</v>
      </c>
      <c r="D41" s="51" t="s">
        <v>36</v>
      </c>
      <c r="E41" s="52" t="s">
        <v>85</v>
      </c>
      <c r="F41" s="53">
        <v>46336.0</v>
      </c>
      <c r="G41" s="53">
        <v>46340.0</v>
      </c>
      <c r="H41" s="54" t="s">
        <v>27</v>
      </c>
      <c r="I41" s="55" t="s">
        <v>86</v>
      </c>
    </row>
    <row r="42" ht="26.25" customHeight="1">
      <c r="B42" s="43">
        <v>29.0</v>
      </c>
      <c r="C42" s="44" t="s">
        <v>35</v>
      </c>
      <c r="D42" s="51" t="s">
        <v>36</v>
      </c>
      <c r="E42" s="45" t="s">
        <v>87</v>
      </c>
      <c r="F42" s="46">
        <v>46341.0</v>
      </c>
      <c r="G42" s="46">
        <v>46346.0</v>
      </c>
      <c r="H42" s="47" t="s">
        <v>27</v>
      </c>
      <c r="I42" s="48" t="s">
        <v>88</v>
      </c>
    </row>
    <row r="43" ht="26.25" customHeight="1">
      <c r="B43" s="49">
        <v>30.0</v>
      </c>
      <c r="C43" s="50" t="s">
        <v>47</v>
      </c>
      <c r="D43" s="51" t="s">
        <v>36</v>
      </c>
      <c r="E43" s="52" t="s">
        <v>89</v>
      </c>
      <c r="F43" s="53">
        <v>46336.0</v>
      </c>
      <c r="G43" s="53">
        <v>46340.0</v>
      </c>
      <c r="H43" s="54" t="s">
        <v>27</v>
      </c>
      <c r="I43" s="55" t="s">
        <v>90</v>
      </c>
    </row>
    <row r="44" ht="26.25" customHeight="1">
      <c r="B44" s="43">
        <v>31.0</v>
      </c>
      <c r="C44" s="44" t="s">
        <v>47</v>
      </c>
      <c r="D44" s="51" t="s">
        <v>36</v>
      </c>
      <c r="E44" s="45" t="s">
        <v>91</v>
      </c>
      <c r="F44" s="46">
        <v>46341.0</v>
      </c>
      <c r="G44" s="46">
        <v>46346.0</v>
      </c>
      <c r="H44" s="47" t="s">
        <v>27</v>
      </c>
      <c r="I44" s="48" t="s">
        <v>92</v>
      </c>
    </row>
    <row r="45" ht="26.25" customHeight="1">
      <c r="B45" s="49">
        <v>32.0</v>
      </c>
      <c r="C45" s="50" t="s">
        <v>58</v>
      </c>
      <c r="D45" s="51" t="s">
        <v>36</v>
      </c>
      <c r="E45" s="52" t="s">
        <v>93</v>
      </c>
      <c r="F45" s="53">
        <v>46336.0</v>
      </c>
      <c r="G45" s="53">
        <v>46340.0</v>
      </c>
      <c r="H45" s="54" t="s">
        <v>27</v>
      </c>
      <c r="I45" s="55" t="s">
        <v>94</v>
      </c>
    </row>
    <row r="46" ht="26.25" customHeight="1">
      <c r="B46" s="43">
        <v>33.0</v>
      </c>
      <c r="C46" s="44" t="s">
        <v>58</v>
      </c>
      <c r="D46" s="51" t="s">
        <v>36</v>
      </c>
      <c r="E46" s="45" t="s">
        <v>95</v>
      </c>
      <c r="F46" s="46">
        <v>46341.0</v>
      </c>
      <c r="G46" s="46">
        <v>46346.0</v>
      </c>
      <c r="H46" s="47" t="s">
        <v>27</v>
      </c>
      <c r="I46" s="48" t="s">
        <v>96</v>
      </c>
    </row>
    <row r="47" ht="26.25" customHeight="1">
      <c r="B47" s="49">
        <v>34.0</v>
      </c>
      <c r="C47" s="50" t="s">
        <v>69</v>
      </c>
      <c r="D47" s="51" t="s">
        <v>36</v>
      </c>
      <c r="E47" s="52" t="s">
        <v>97</v>
      </c>
      <c r="F47" s="53">
        <v>46336.0</v>
      </c>
      <c r="G47" s="53">
        <v>46340.0</v>
      </c>
      <c r="H47" s="54" t="s">
        <v>27</v>
      </c>
      <c r="I47" s="55" t="s">
        <v>98</v>
      </c>
    </row>
    <row r="48" ht="26.25" customHeight="1">
      <c r="B48" s="29">
        <v>35.0</v>
      </c>
      <c r="C48" s="37" t="s">
        <v>69</v>
      </c>
      <c r="D48" s="38" t="s">
        <v>36</v>
      </c>
      <c r="E48" s="39" t="s">
        <v>99</v>
      </c>
      <c r="F48" s="40">
        <v>46341.0</v>
      </c>
      <c r="G48" s="40">
        <v>46346.0</v>
      </c>
      <c r="H48" s="41" t="s">
        <v>27</v>
      </c>
      <c r="I48" s="42" t="s">
        <v>100</v>
      </c>
    </row>
    <row r="49" ht="26.25" customHeight="1">
      <c r="B49" s="58" t="s">
        <v>101</v>
      </c>
      <c r="I49" s="57"/>
    </row>
    <row r="50" ht="26.25" customHeight="1">
      <c r="B50" s="29">
        <v>36.0</v>
      </c>
      <c r="C50" s="37" t="s">
        <v>21</v>
      </c>
      <c r="D50" s="38" t="s">
        <v>22</v>
      </c>
      <c r="E50" s="39" t="s">
        <v>102</v>
      </c>
      <c r="F50" s="40">
        <v>46347.0</v>
      </c>
      <c r="G50" s="40">
        <v>46354.0</v>
      </c>
      <c r="H50" s="41" t="s">
        <v>27</v>
      </c>
      <c r="I50" s="42" t="s">
        <v>103</v>
      </c>
    </row>
    <row r="51" ht="26.25" customHeight="1">
      <c r="B51" s="43">
        <v>37.0</v>
      </c>
      <c r="C51" s="44" t="s">
        <v>21</v>
      </c>
      <c r="D51" s="38" t="s">
        <v>22</v>
      </c>
      <c r="E51" s="45" t="s">
        <v>104</v>
      </c>
      <c r="F51" s="46">
        <v>46355.0</v>
      </c>
      <c r="G51" s="46">
        <v>46364.0</v>
      </c>
      <c r="H51" s="47" t="s">
        <v>27</v>
      </c>
      <c r="I51" s="48" t="s">
        <v>105</v>
      </c>
    </row>
    <row r="52" ht="26.25" customHeight="1">
      <c r="B52" s="49">
        <v>38.0</v>
      </c>
      <c r="C52" s="50" t="s">
        <v>35</v>
      </c>
      <c r="D52" s="51" t="s">
        <v>36</v>
      </c>
      <c r="E52" s="52" t="s">
        <v>106</v>
      </c>
      <c r="F52" s="53">
        <v>46347.0</v>
      </c>
      <c r="G52" s="53">
        <v>46354.0</v>
      </c>
      <c r="H52" s="54" t="s">
        <v>27</v>
      </c>
      <c r="I52" s="55" t="s">
        <v>107</v>
      </c>
    </row>
    <row r="53" ht="26.25" customHeight="1">
      <c r="B53" s="43">
        <v>39.0</v>
      </c>
      <c r="C53" s="44" t="s">
        <v>35</v>
      </c>
      <c r="D53" s="51" t="s">
        <v>36</v>
      </c>
      <c r="E53" s="45" t="s">
        <v>108</v>
      </c>
      <c r="F53" s="46">
        <v>46355.0</v>
      </c>
      <c r="G53" s="46">
        <v>46364.0</v>
      </c>
      <c r="H53" s="47" t="s">
        <v>27</v>
      </c>
      <c r="I53" s="48" t="s">
        <v>109</v>
      </c>
    </row>
    <row r="54" ht="26.25" customHeight="1">
      <c r="B54" s="49">
        <v>40.0</v>
      </c>
      <c r="C54" s="50" t="s">
        <v>47</v>
      </c>
      <c r="D54" s="51" t="s">
        <v>36</v>
      </c>
      <c r="E54" s="52" t="s">
        <v>110</v>
      </c>
      <c r="F54" s="53">
        <v>46347.0</v>
      </c>
      <c r="G54" s="53">
        <v>46354.0</v>
      </c>
      <c r="H54" s="54" t="s">
        <v>27</v>
      </c>
      <c r="I54" s="55" t="s">
        <v>111</v>
      </c>
    </row>
    <row r="55" ht="26.25" customHeight="1">
      <c r="B55" s="43">
        <v>41.0</v>
      </c>
      <c r="C55" s="44" t="s">
        <v>47</v>
      </c>
      <c r="D55" s="51" t="s">
        <v>36</v>
      </c>
      <c r="E55" s="45" t="s">
        <v>112</v>
      </c>
      <c r="F55" s="46">
        <v>46355.0</v>
      </c>
      <c r="G55" s="46">
        <v>46364.0</v>
      </c>
      <c r="H55" s="47" t="s">
        <v>27</v>
      </c>
      <c r="I55" s="48" t="s">
        <v>113</v>
      </c>
    </row>
    <row r="56" ht="26.25" customHeight="1">
      <c r="B56" s="49">
        <v>42.0</v>
      </c>
      <c r="C56" s="50" t="s">
        <v>58</v>
      </c>
      <c r="D56" s="51" t="s">
        <v>36</v>
      </c>
      <c r="E56" s="52" t="s">
        <v>114</v>
      </c>
      <c r="F56" s="53">
        <v>46347.0</v>
      </c>
      <c r="G56" s="53">
        <v>46354.0</v>
      </c>
      <c r="H56" s="54" t="s">
        <v>27</v>
      </c>
      <c r="I56" s="55" t="s">
        <v>115</v>
      </c>
    </row>
    <row r="57" ht="26.25" customHeight="1">
      <c r="B57" s="43">
        <v>43.0</v>
      </c>
      <c r="C57" s="44" t="s">
        <v>58</v>
      </c>
      <c r="D57" s="51" t="s">
        <v>36</v>
      </c>
      <c r="E57" s="45" t="s">
        <v>116</v>
      </c>
      <c r="F57" s="46">
        <v>46355.0</v>
      </c>
      <c r="G57" s="46">
        <v>46364.0</v>
      </c>
      <c r="H57" s="47" t="s">
        <v>27</v>
      </c>
      <c r="I57" s="48" t="s">
        <v>117</v>
      </c>
    </row>
    <row r="58" ht="26.25" customHeight="1">
      <c r="B58" s="49">
        <v>44.0</v>
      </c>
      <c r="C58" s="50" t="s">
        <v>69</v>
      </c>
      <c r="D58" s="51" t="s">
        <v>36</v>
      </c>
      <c r="E58" s="52" t="s">
        <v>118</v>
      </c>
      <c r="F58" s="53">
        <v>46347.0</v>
      </c>
      <c r="G58" s="53">
        <v>46354.0</v>
      </c>
      <c r="H58" s="54" t="s">
        <v>27</v>
      </c>
      <c r="I58" s="55" t="s">
        <v>119</v>
      </c>
    </row>
    <row r="59" ht="26.25" customHeight="1">
      <c r="B59" s="29">
        <v>45.0</v>
      </c>
      <c r="C59" s="37" t="s">
        <v>69</v>
      </c>
      <c r="D59" s="51" t="s">
        <v>36</v>
      </c>
      <c r="E59" s="39" t="s">
        <v>120</v>
      </c>
      <c r="F59" s="40">
        <v>46355.0</v>
      </c>
      <c r="G59" s="40">
        <v>46364.0</v>
      </c>
      <c r="H59" s="41" t="s">
        <v>27</v>
      </c>
      <c r="I59" s="42" t="s">
        <v>121</v>
      </c>
    </row>
  </sheetData>
  <autoFilter ref="$B$10:$I$59"/>
  <mergeCells count="19">
    <mergeCell ref="B2:I2"/>
    <mergeCell ref="B3:I3"/>
    <mergeCell ref="B5:C5"/>
    <mergeCell ref="G5:H5"/>
    <mergeCell ref="B6:C6"/>
    <mergeCell ref="G6:H6"/>
    <mergeCell ref="B7:C7"/>
    <mergeCell ref="G12:G13"/>
    <mergeCell ref="H12:H13"/>
    <mergeCell ref="I12:I13"/>
    <mergeCell ref="B38:I38"/>
    <mergeCell ref="B49:I49"/>
    <mergeCell ref="G7:H7"/>
    <mergeCell ref="B8:H8"/>
    <mergeCell ref="B11:I11"/>
    <mergeCell ref="C12:C13"/>
    <mergeCell ref="D12:D13"/>
    <mergeCell ref="E12:E13"/>
    <mergeCell ref="F12:F13"/>
  </mergeCells>
  <dataValidations>
    <dataValidation type="list" allowBlank="1" showErrorMessage="1" sqref="D12 D14:D37 D39:D48 D50:D59">
      <formula1>"Fullstack / Database &amp; Core Backend,Backend Engineer / CMS API &amp; Media Pipeline,Frontend Lead / 3D &amp; WebXR Specialist,Frontend UI / 2D Accessibility &amp; Audio Specialist,Fullstack / CMS Frontend &amp; QA Lead"</formula1>
    </dataValidation>
    <dataValidation type="list" allowBlank="1" sqref="H12 H14:H37 H39:H48 H50:H59">
      <formula1>"Chưa bắt đầu,Đang thực hiện,Hoàn thành,Gặp trở ngại"</formula1>
    </dataValidation>
  </dataValidations>
  <drawing r:id="rId1"/>
</worksheet>
</file>